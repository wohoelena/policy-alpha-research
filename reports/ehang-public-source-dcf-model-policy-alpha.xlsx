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puts" sheetId="2" r:id="rId2"/>
    <sheet name="DCF Model" sheetId="3" r:id="rId3"/>
    <sheet name="Valuation Output" sheetId="4" r:id="rId4"/>
    <sheet name="Sources" sheetId="5" r:id="rId5"/>
    <sheet name="Public Data" sheetId="6" r:id="rId6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"/>
    <numFmt numFmtId="165" formatCode="0.0%"/>
  </numFmts>
  <fonts count="5">
    <font>
      <sz val="11"/>
      <color rgb="FFE8EAED"/>
      <name val="Aptos"/>
    </font>
    <font>
      <b/>
      <sz val="18"/>
      <color rgb="FFF2C14E"/>
      <name val="Aptos Display"/>
    </font>
    <font>
      <b/>
      <sz val="12"/>
      <color rgb="FFF2C14E"/>
      <name val="Aptos"/>
    </font>
    <font>
      <b/>
      <sz val="11"/>
      <color rgb="FF071013"/>
      <name val="Aptos"/>
    </font>
    <font>
      <sz val="10"/>
      <color rgb="FF9CA3AF"/>
      <name val="Aptos"/>
    </font>
  </fonts>
  <fills count="6">
    <fill>
      <patternFill patternType="none"/>
    </fill>
    <fill>
      <patternFill patternType="gray125"/>
    </fill>
    <fill>
      <patternFill patternType="solid">
        <fgColor rgb="FF071013"/>
        <bgColor indexed="64"/>
      </patternFill>
    </fill>
    <fill>
      <patternFill patternType="solid">
        <fgColor rgb="FF1C2733"/>
        <bgColor indexed="64"/>
      </patternFill>
    </fill>
    <fill>
      <patternFill patternType="solid">
        <fgColor rgb="FFF2C14E"/>
        <bgColor indexed="64"/>
      </patternFill>
    </fill>
    <fill>
      <patternFill patternType="solid">
        <fgColor rgb="FF111827"/>
        <bgColor indexed="64"/>
      </patternFill>
    </fill>
  </fills>
  <borders count="2">
    <border/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9">
    <xf numFmtId="0" fontId="0" fillId="2" borderId="1" xfId="0" applyFill="1" applyBorder="1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  <xf numFmtId="0" fontId="0" fillId="3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4" fillId="2" borderId="1" xfId="0" applyFont="1" applyFill="1" applyBorder="1"/>
    <xf numFmtId="0" fontId="2" fillId="5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72" customWidth="1"/>
    <col min="5" max="5" width="16" customWidth="1"/>
    <col min="6" max="6" width="16" customWidth="1"/>
    <col min="7" max="7" width="16" customWidth="1"/>
  </cols>
  <sheetData>
    <row r="1">
      <c r="A1" t="inlineStr" s="7">
        <is>
          <t>Policy Alpha Research</t>
        </is>
      </c>
    </row>
    <row r="2">
      <c r="A2" t="inlineStr" s="1">
        <is>
          <t>EHang Public-Source DCF Model</t>
        </is>
      </c>
    </row>
    <row r="3">
      <c r="A3" t="inlineStr" s="7">
        <is>
          <t>Policy Alpha Research commercialization stress test. Uses public company filings, company IR releases, and public market context. Not investment advice.</t>
        </is>
      </c>
    </row>
    <row r="4"/>
    <row r="5">
      <c r="A5" t="inlineStr" s="3">
        <is>
          <t>Scenario</t>
        </is>
      </c>
      <c r="B5" t="inlineStr" s="3">
        <is>
          <t>Implied Equity Value / ADS</t>
        </is>
      </c>
      <c r="C5" t="inlineStr" s="3">
        <is>
          <t>Upside / Downside vs Market</t>
        </is>
      </c>
      <c r="D5" t="inlineStr" s="3">
        <is>
          <t>Core Interpretation</t>
        </is>
      </c>
    </row>
    <row r="6">
      <c r="A6" t="inlineStr" s="8">
        <is>
          <t>Bear</t>
        </is>
      </c>
      <c r="B6" s="5">
        <f>'Valuation Output'!B5</f>
      </c>
      <c r="C6" s="6">
        <f>'Valuation Output'!C5</f>
      </c>
      <c r="D6" t="inlineStr" s="7">
        <is>
          <t>Certification progress does not convert quickly into scaled operations; FCF remains delayed.</t>
        </is>
      </c>
    </row>
    <row r="7">
      <c r="A7" t="inlineStr" s="8">
        <is>
          <t>Base</t>
        </is>
      </c>
      <c r="B7" s="5">
        <f>'Valuation Output'!B6</f>
      </c>
      <c r="C7" s="6">
        <f>'Valuation Output'!C6</f>
      </c>
      <c r="D7" t="inlineStr" s="7">
        <is>
          <t>Commercial deployment scales gradually; operating leverage improves but remains execution-dependent.</t>
        </is>
      </c>
    </row>
    <row r="8">
      <c r="A8" t="inlineStr" s="8">
        <is>
          <t>Bull</t>
        </is>
      </c>
      <c r="B8" s="5">
        <f>'Valuation Output'!B7</f>
      </c>
      <c r="C8" s="6">
        <f>'Valuation Output'!C7</f>
      </c>
      <c r="D8" t="inlineStr" s="7">
        <is>
          <t>Policy support, city pilots and route economics translate into faster recurring operating visibility.</t>
        </is>
      </c>
    </row>
    <row r="9"/>
    <row r="10">
      <c r="A10" t="inlineStr" s="2">
        <is>
          <t>Key Model Message</t>
        </is>
      </c>
    </row>
    <row r="11">
      <c r="A11" t="inlineStr" s="7">
        <is>
          <t>The model is most sensitive to whether EHang can move beyond certified aircraft deliveries into repeatable operations, route utilization, operating leverage, and free-cash-flow conversion.</t>
        </is>
      </c>
    </row>
    <row r="12"/>
    <row r="13">
      <c r="A13" t="inlineStr" s="2">
        <is>
          <t>Current Market Inputs</t>
        </is>
      </c>
    </row>
    <row r="14">
      <c r="A14" t="inlineStr" s="3">
        <is>
          <t>Market price / ADS</t>
        </is>
      </c>
      <c r="B14" s="5">
        <f>Inputs!B4</f>
      </c>
      <c r="C14" t="inlineStr" s="7">
        <is>
          <t>Editable in Inputs; current seed from public quote summary</t>
        </is>
      </c>
    </row>
    <row r="15">
      <c r="A15" t="inlineStr" s="3">
        <is>
          <t>ADS equivalent shares</t>
        </is>
      </c>
      <c r="B15" s="5">
        <f>Inputs!B7</f>
      </c>
      <c r="C15" t="inlineStr" s="7">
        <is>
          <t>Ordinary shares divided by two ordinary shares per ADS</t>
        </is>
      </c>
    </row>
    <row r="16">
      <c r="A16" t="inlineStr" s="3">
        <is>
          <t>Net cash used in model</t>
        </is>
      </c>
      <c r="B16" s="5">
        <f>Inputs!B8/Inputs!B10</f>
      </c>
      <c r="C16" t="inlineStr" s="7">
        <is>
          <t>RMB cash converted to USD; debt set to zero unless updated</t>
        </is>
      </c>
    </row>
    <row r="17">
      <c r="A17" t="inlineStr" s="3">
        <is>
          <t>FY2026 company revenue outlook</t>
        </is>
      </c>
      <c r="B17" s="5">
        <f>Inputs!B16</f>
      </c>
      <c r="C17" t="inlineStr" s="7">
        <is>
          <t>Company outlook: around RMB600m</t>
        </is>
      </c>
    </row>
    <row r="18"/>
    <row r="19">
      <c r="A19" t="inlineStr" s="2">
        <is>
          <t>Important Boundary</t>
        </is>
      </c>
    </row>
    <row r="20">
      <c r="A20" t="inlineStr" s="7">
        <is>
          <t>This workbook is an educational valuation framework based on public information. It is not a recommendation, not personal advice, not a securities research recommendation, and not a solicitation to trade EH or any security.</t>
        </is>
      </c>
    </row>
  </sheetData>
  <mergeCells count="4">
    <mergeCell ref="A2:G2"/>
    <mergeCell ref="A3:G3"/>
    <mergeCell ref="A10:D10"/>
    <mergeCell ref="A18:D18"/>
  </mergeCells>
</worksheet>
</file>

<file path=xl/worksheets/sheet2.xml><?xml version="1.0" encoding="utf-8"?>
<worksheet xmlns="http://schemas.openxmlformats.org/spreadsheetml/2006/main">
  <cols>
    <col min="1" max="1" width="42" customWidth="1"/>
    <col min="2" max="2" width="18" customWidth="1"/>
    <col min="3" max="3" width="18" customWidth="1"/>
    <col min="4" max="4" width="18" customWidth="1"/>
    <col min="5" max="5" width="18" customWidth="1"/>
    <col min="6" max="6" width="60" customWidth="1"/>
  </cols>
  <sheetData>
    <row r="1">
      <c r="A1" t="inlineStr" s="1">
        <is>
          <t>Inputs</t>
        </is>
      </c>
    </row>
    <row r="2">
      <c r="A2" t="inlineStr" s="7">
        <is>
          <t>Update the yellow cells when new quarterly results or market data are available.</t>
        </is>
      </c>
    </row>
    <row r="3"/>
    <row r="4">
      <c r="A4" t="inlineStr" s="3">
        <is>
          <t>Market price / ADS (USD)</t>
        </is>
      </c>
      <c r="B4" s="4">
        <v>8.71</v>
      </c>
      <c r="C4" t="inlineStr" s="7">
        <is>
          <t>MarketScreener summary, 2026-06-08 close / estimate reference</t>
        </is>
      </c>
    </row>
    <row r="5">
      <c r="A5" t="inlineStr" s="3">
        <is>
          <t>Ordinary shares outstanding</t>
        </is>
      </c>
      <c r="B5" s="4">
        <v>150242174</v>
      </c>
      <c r="C5" t="inlineStr" s="7">
        <is>
          <t>2025 Form 20-F, ordinary shares outstanding at Dec 31 2025</t>
        </is>
      </c>
    </row>
    <row r="6">
      <c r="A6" t="inlineStr" s="3">
        <is>
          <t>Ordinary shares per ADS</t>
        </is>
      </c>
      <c r="B6" s="4">
        <v>2</v>
      </c>
      <c r="C6" t="inlineStr" s="7">
        <is>
          <t>Each ADS represents two Class A ordinary shares</t>
        </is>
      </c>
    </row>
    <row r="7">
      <c r="A7" t="inlineStr" s="3">
        <is>
          <t>ADS equivalent shares</t>
        </is>
      </c>
      <c r="B7" s="5">
        <f>B5/B6</f>
      </c>
      <c r="C7" t="inlineStr" s="7">
        <is>
          <t>Calculated</t>
        </is>
      </c>
    </row>
    <row r="8">
      <c r="A8" t="inlineStr" s="3">
        <is>
          <t>Cash, restricted deposits and short-term investments (RMB)</t>
        </is>
      </c>
      <c r="B8" s="4">
        <v>1130000000</v>
      </c>
      <c r="C8" t="inlineStr" s="7">
        <is>
          <t>FY2025 result</t>
        </is>
      </c>
    </row>
    <row r="9">
      <c r="A9" t="inlineStr" s="3">
        <is>
          <t>Debt used in model (USD)</t>
        </is>
      </c>
      <c r="B9" s="4">
        <v>0</v>
      </c>
      <c r="C9" t="inlineStr" s="7">
        <is>
          <t>Set to zero pending full debt schedule; update if needed</t>
        </is>
      </c>
    </row>
    <row r="10">
      <c r="A10" t="inlineStr" s="3">
        <is>
          <t>RMB / USD</t>
        </is>
      </c>
      <c r="B10" s="4">
        <v>6.9931</v>
      </c>
      <c r="C10" t="inlineStr" s="7">
        <is>
          <t>2025 Form 20-F translation rate</t>
        </is>
      </c>
    </row>
    <row r="11">
      <c r="A11" t="inlineStr" s="3">
        <is>
          <t>Cash tax rate</t>
        </is>
      </c>
      <c r="B11" s="4">
        <v>0.25</v>
      </c>
      <c r="C11" t="inlineStr" s="6">
        <is>
          <t>Illustrative long-term tax rate</t>
        </is>
      </c>
    </row>
    <row r="12">
      <c r="A12" t="inlineStr" s="3">
        <is>
          <t>FY2025 revenue (RMB m)</t>
        </is>
      </c>
      <c r="B12" s="4">
        <v>509.5</v>
      </c>
      <c r="C12" t="inlineStr" s="7">
        <is>
          <t>FY2025 reported revenue</t>
        </is>
      </c>
    </row>
    <row r="13">
      <c r="A13" t="inlineStr" s="3">
        <is>
          <t>FY2025 gross margin</t>
        </is>
      </c>
      <c r="B13" s="4">
        <v>0.62</v>
      </c>
      <c r="C13" t="inlineStr" s="6">
        <is>
          <t>FY2025 reported gross margin</t>
        </is>
      </c>
    </row>
    <row r="14">
      <c r="A14" t="inlineStr" s="3">
        <is>
          <t>FY2025 operating loss (RMB m)</t>
        </is>
      </c>
      <c r="B14" s="4">
        <v>-266.3</v>
      </c>
      <c r="C14" t="inlineStr" s="7">
        <is>
          <t>FY2025 reported operating loss</t>
        </is>
      </c>
    </row>
    <row r="15">
      <c r="A15" t="inlineStr" s="3">
        <is>
          <t>FY2025 net loss (RMB m)</t>
        </is>
      </c>
      <c r="B15" s="4">
        <v>-231</v>
      </c>
      <c r="C15" t="inlineStr" s="7">
        <is>
          <t>FY2025 reported net loss</t>
        </is>
      </c>
    </row>
    <row r="16">
      <c r="A16" t="inlineStr" s="3">
        <is>
          <t>FY2026 revenue outlook (RMB m)</t>
        </is>
      </c>
      <c r="B16" s="4">
        <v>600</v>
      </c>
      <c r="C16" t="inlineStr" s="7">
        <is>
          <t>Company outlook from FY2025 results release: around RMB600m</t>
        </is>
      </c>
    </row>
    <row r="17">
      <c r="A17" t="inlineStr" s="3">
        <is>
          <t>FY2025 deliveries</t>
        </is>
      </c>
      <c r="B17" s="4">
        <v>221</v>
      </c>
      <c r="C17" t="inlineStr" s="7">
        <is>
          <t>215 EH216 series + 6 VT35</t>
        </is>
      </c>
    </row>
    <row r="18">
      <c r="A18" t="inlineStr" s="3">
        <is>
          <t>Q4 2025 deliveries</t>
        </is>
      </c>
      <c r="B18" s="4">
        <v>100</v>
      </c>
      <c r="C18" t="inlineStr" s="7">
        <is>
          <t>95 EH216 series + 5 VT35</t>
        </is>
      </c>
    </row>
    <row r="19">
      <c r="A19" t="inlineStr" s="3">
        <is>
          <t>Q4 2025 revenue (RMB m)</t>
        </is>
      </c>
      <c r="B19" s="4">
        <v>243.8</v>
      </c>
      <c r="C19" t="inlineStr" s="7">
        <is>
          <t>Record quarterly revenue</t>
        </is>
      </c>
    </row>
    <row r="20">
      <c r="A20" t="inlineStr" s="3">
        <is>
          <t>Q4 2025 gross margin</t>
        </is>
      </c>
      <c r="B20" s="4">
        <v>0.621</v>
      </c>
      <c r="C20" t="inlineStr" s="6">
        <is>
          <t>Q4 gross margin</t>
        </is>
      </c>
    </row>
    <row r="21">
      <c r="A21" t="inlineStr" s="3">
        <is>
          <t>Q4 2025 net income (RMB m)</t>
        </is>
      </c>
      <c r="B21" s="4">
        <v>10.5</v>
      </c>
      <c r="C21" t="inlineStr" s="7">
        <is>
          <t>First GAAP profitable quarter</t>
        </is>
      </c>
    </row>
    <row r="22"/>
    <row r="23">
      <c r="A23" t="inlineStr" s="2">
        <is>
          <t>Scenario Assumptions</t>
        </is>
      </c>
      <c r="B23" t="inlineStr" s="3">
        <is>
          <t>Bear</t>
        </is>
      </c>
      <c r="C23" t="inlineStr" s="3">
        <is>
          <t>Base</t>
        </is>
      </c>
      <c r="D23" t="inlineStr" s="3">
        <is>
          <t>Bull</t>
        </is>
      </c>
    </row>
    <row r="24">
      <c r="A24" t="inlineStr" s="3">
        <is>
          <t>2026E Revenue (RMB m)</t>
        </is>
      </c>
      <c r="B24" s="4">
        <v>500</v>
      </c>
      <c r="C24" s="4">
        <v>600</v>
      </c>
      <c r="D24" s="4">
        <v>750</v>
      </c>
    </row>
    <row r="25">
      <c r="A25" t="inlineStr" s="3">
        <is>
          <t>2027 Growth</t>
        </is>
      </c>
      <c r="B25" s="4">
        <v>0.15</v>
      </c>
      <c r="C25" s="4">
        <v>0.4</v>
      </c>
      <c r="D25" s="4">
        <v>0.65</v>
      </c>
    </row>
    <row r="26">
      <c r="A26" t="inlineStr" s="3">
        <is>
          <t>2028 Growth</t>
        </is>
      </c>
      <c r="B26" s="4">
        <v>0.15</v>
      </c>
      <c r="C26" s="4">
        <v>0.35</v>
      </c>
      <c r="D26" s="4">
        <v>0.55</v>
      </c>
    </row>
    <row r="27">
      <c r="A27" t="inlineStr" s="3">
        <is>
          <t>2029 Growth</t>
        </is>
      </c>
      <c r="B27" s="4">
        <v>0.12</v>
      </c>
      <c r="C27" s="4">
        <v>0.3</v>
      </c>
      <c r="D27" s="4">
        <v>0.45</v>
      </c>
    </row>
    <row r="28">
      <c r="A28" t="inlineStr" s="3">
        <is>
          <t>2030 Growth</t>
        </is>
      </c>
      <c r="B28" s="4">
        <v>0.1</v>
      </c>
      <c r="C28" s="4">
        <v>0.25</v>
      </c>
      <c r="D28" s="4">
        <v>0.35</v>
      </c>
    </row>
    <row r="29">
      <c r="A29" t="inlineStr" s="3">
        <is>
          <t>Long-term Gross Margin</t>
        </is>
      </c>
      <c r="B29" s="4">
        <v>0.58</v>
      </c>
      <c r="C29" s="4">
        <v>0.6</v>
      </c>
      <c r="D29" s="4">
        <v>0.62</v>
      </c>
    </row>
    <row r="30">
      <c r="A30" t="inlineStr" s="3">
        <is>
          <t>2030E Operating Expense / Revenue</t>
        </is>
      </c>
      <c r="B30" s="4">
        <v>0.5</v>
      </c>
      <c r="C30" s="4">
        <v>0.38</v>
      </c>
      <c r="D30" s="4">
        <v>0.3</v>
      </c>
    </row>
    <row r="31">
      <c r="A31" t="inlineStr" s="3">
        <is>
          <t>D&amp;A / Revenue</t>
        </is>
      </c>
      <c r="B31" s="4">
        <v>0.02</v>
      </c>
      <c r="C31" s="4">
        <v>0.025</v>
      </c>
      <c r="D31" s="4">
        <v>0.03</v>
      </c>
    </row>
    <row r="32">
      <c r="A32" t="inlineStr" s="3">
        <is>
          <t>Capex / Revenue</t>
        </is>
      </c>
      <c r="B32" s="4">
        <v>0.08</v>
      </c>
      <c r="C32" s="4">
        <v>0.07</v>
      </c>
      <c r="D32" s="4">
        <v>0.06</v>
      </c>
    </row>
    <row r="33">
      <c r="A33" t="inlineStr" s="3">
        <is>
          <t>NWC / Revenue Change</t>
        </is>
      </c>
      <c r="B33" s="4">
        <v>0.08</v>
      </c>
      <c r="C33" s="4">
        <v>0.06</v>
      </c>
      <c r="D33" s="4">
        <v>0.05</v>
      </c>
    </row>
    <row r="34">
      <c r="A34" t="inlineStr" s="3">
        <is>
          <t>Discount Rate</t>
        </is>
      </c>
      <c r="B34" s="4">
        <v>0.14</v>
      </c>
      <c r="C34" s="4">
        <v>0.13</v>
      </c>
      <c r="D34" s="4">
        <v>0.12</v>
      </c>
    </row>
    <row r="35">
      <c r="A35" t="inlineStr" s="3">
        <is>
          <t>Terminal Growth</t>
        </is>
      </c>
      <c r="B35" s="4">
        <v>0.025</v>
      </c>
      <c r="C35" s="4">
        <v>0.03</v>
      </c>
      <c r="D35" s="4">
        <v>0.035</v>
      </c>
    </row>
    <row r="36"/>
    <row r="37">
      <c r="A37" t="inlineStr" s="2">
        <is>
          <t>Public Source Notes</t>
        </is>
      </c>
    </row>
    <row r="38">
      <c r="A38" t="inlineStr" s="7">
        <is>
          <t>FY2025: revenue RMB509.5m, gross margin 62.0%, operating loss RMB266.3m, net loss RMB231.0m, cash/investments RMB1.13bn, deliveries 221 units.</t>
        </is>
      </c>
    </row>
    <row r="39">
      <c r="A39" t="inlineStr" s="7">
        <is>
          <t>Q4 2025: revenue RMB243.8m, gross margin 62.1%, operating loss RMB6.6m, net income RMB10.5m, deliveries 100 units.</t>
        </is>
      </c>
    </row>
    <row r="40">
      <c r="A40" t="inlineStr" s="7">
        <is>
          <t>FY2026 company outlook: total revenues around RMB600m, about 18% year-over-year growth. Base case deliberately anchors to this public guide before applying longer-term commercialization assumptions.</t>
        </is>
      </c>
    </row>
  </sheetData>
  <mergeCells count="4">
    <mergeCell ref="A1:F1"/>
    <mergeCell ref="A2:F2"/>
    <mergeCell ref="A17:D17"/>
    <mergeCell ref="A31:D31"/>
  </mergeCells>
</worksheet>
</file>

<file path=xl/worksheets/sheet3.xml><?xml version="1.0" encoding="utf-8"?>
<worksheet xmlns="http://schemas.openxmlformats.org/spreadsheetml/2006/main"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inlineStr" s="1">
        <is>
          <t>DCF Model - RMB millions unless noted</t>
        </is>
      </c>
    </row>
    <row r="2"/>
    <row r="3">
      <c r="A3" t="inlineStr" s="2">
        <is>
          <t>Bear Case</t>
        </is>
      </c>
      <c r="B3" t="inlineStr" s="3">
        <is>
          <t>2025A</t>
        </is>
      </c>
      <c r="C3" t="inlineStr" s="3">
        <is>
          <t>2026E</t>
        </is>
      </c>
      <c r="D3" t="inlineStr" s="3">
        <is>
          <t>2027E</t>
        </is>
      </c>
      <c r="E3" t="inlineStr" s="3">
        <is>
          <t>2028E</t>
        </is>
      </c>
      <c r="F3" t="inlineStr" s="3">
        <is>
          <t>2029E</t>
        </is>
      </c>
      <c r="G3" t="inlineStr" s="3">
        <is>
          <t>2030E</t>
        </is>
      </c>
    </row>
    <row r="4">
      <c r="A4" t="inlineStr" s="3">
        <is>
          <t>Revenue</t>
        </is>
      </c>
      <c r="B4" s="5">
        <f>Inputs!B12</f>
      </c>
      <c r="C4" s="5">
        <f>Inputs!B24</f>
      </c>
      <c r="D4" s="5">
        <f>C4*(1+Inputs!B25)</f>
      </c>
      <c r="E4" s="5">
        <f>D4*(1+Inputs!B26)</f>
      </c>
      <c r="F4" s="5">
        <f>E4*(1+Inputs!B27)</f>
      </c>
      <c r="G4" s="5">
        <f>F4*(1+Inputs!B28)</f>
      </c>
    </row>
    <row r="5">
      <c r="A5" t="inlineStr" s="3">
        <is>
          <t>Revenue Growth</t>
        </is>
      </c>
      <c r="B5" t="inlineStr" s="7">
        <is>
          <t>n.a.</t>
        </is>
      </c>
      <c r="C5" s="6">
        <f>C4/B4-1</f>
      </c>
      <c r="D5" s="6">
        <f>D4/C4-1</f>
      </c>
      <c r="E5" s="6">
        <f>E4/D4-1</f>
      </c>
      <c r="F5" s="6">
        <f>F4/E4-1</f>
      </c>
      <c r="G5" s="6">
        <f>G4/F4-1</f>
      </c>
    </row>
    <row r="6">
      <c r="A6" t="inlineStr" s="3">
        <is>
          <t>Gross Margin</t>
        </is>
      </c>
      <c r="B6" s="6">
        <f>Inputs!B13</f>
      </c>
      <c r="C6" s="6">
        <f>Inputs!B29</f>
      </c>
      <c r="D6" s="6">
        <f>Inputs!B29</f>
      </c>
      <c r="E6" s="6">
        <f>Inputs!B29</f>
      </c>
      <c r="F6" s="6">
        <f>Inputs!B29</f>
      </c>
      <c r="G6" s="6">
        <f>Inputs!B29</f>
      </c>
    </row>
    <row r="7">
      <c r="A7" t="inlineStr" s="3">
        <is>
          <t>Gross Profit</t>
        </is>
      </c>
      <c r="B7" s="5">
        <f>B4*B6</f>
      </c>
      <c r="C7" s="5">
        <f>C4*C6</f>
      </c>
      <c r="D7" s="5">
        <f>D4*D6</f>
      </c>
      <c r="E7" s="5">
        <f>E4*E6</f>
      </c>
      <c r="F7" s="5">
        <f>F4*F6</f>
      </c>
      <c r="G7" s="5">
        <f>G4*G6</f>
      </c>
    </row>
    <row r="8">
      <c r="A8" t="inlineStr" s="3">
        <is>
          <t>Operating Expense / Revenue</t>
        </is>
      </c>
      <c r="B8" s="6">
        <f>(Inputs!B12*Inputs!B13-Inputs!B14)/Inputs!B12</f>
      </c>
      <c r="C8" s="6">
        <f>((B8)*0.85+Inputs!B30*0.15)</f>
      </c>
      <c r="D8" s="6">
        <f>((C8)*0.65+Inputs!B30*0.35)</f>
      </c>
      <c r="E8" s="6">
        <f>((D8)*0.45+Inputs!B30*0.55)</f>
      </c>
      <c r="F8" s="6">
        <f>((E8)*0.25+Inputs!B30*0.75)</f>
      </c>
      <c r="G8" s="6">
        <f>Inputs!B30</f>
      </c>
    </row>
    <row r="9">
      <c r="A9" t="inlineStr" s="3">
        <is>
          <t>Operating Expense</t>
        </is>
      </c>
      <c r="B9" s="5">
        <f>B4*B8</f>
      </c>
      <c r="C9" s="5">
        <f>C4*C8</f>
      </c>
      <c r="D9" s="5">
        <f>D4*D8</f>
      </c>
      <c r="E9" s="5">
        <f>E4*E8</f>
      </c>
      <c r="F9" s="5">
        <f>F4*F8</f>
      </c>
      <c r="G9" s="5">
        <f>G4*G8</f>
      </c>
    </row>
    <row r="10">
      <c r="A10" t="inlineStr" s="3">
        <is>
          <t>EBIT</t>
        </is>
      </c>
      <c r="B10" s="5">
        <f>B7-B9</f>
      </c>
      <c r="C10" s="5">
        <f>C7-C9</f>
      </c>
      <c r="D10" s="5">
        <f>D7-D9</f>
      </c>
      <c r="E10" s="5">
        <f>E7-E9</f>
      </c>
      <c r="F10" s="5">
        <f>F7-F9</f>
      </c>
      <c r="G10" s="5">
        <f>G7-G9</f>
      </c>
    </row>
    <row r="11">
      <c r="A11" t="inlineStr" s="3">
        <is>
          <t>Tax on Positive EBIT</t>
        </is>
      </c>
      <c r="B11" s="5">
        <v>0</v>
      </c>
      <c r="C11" s="5">
        <f>MAX(0,C10*Inputs!B11)</f>
      </c>
      <c r="D11" s="5">
        <f>MAX(0,D10*Inputs!B11)</f>
      </c>
      <c r="E11" s="5">
        <f>MAX(0,E10*Inputs!B11)</f>
      </c>
      <c r="F11" s="5">
        <f>MAX(0,F10*Inputs!B11)</f>
      </c>
      <c r="G11" s="5">
        <f>MAX(0,G10*Inputs!B11)</f>
      </c>
    </row>
    <row r="12">
      <c r="A12" t="inlineStr" s="3">
        <is>
          <t>NOPAT</t>
        </is>
      </c>
      <c r="B12" s="5">
        <f>B10-B11</f>
      </c>
      <c r="C12" s="5">
        <f>C10-C11</f>
      </c>
      <c r="D12" s="5">
        <f>D10-D11</f>
      </c>
      <c r="E12" s="5">
        <f>E10-E11</f>
      </c>
      <c r="F12" s="5">
        <f>F10-F11</f>
      </c>
      <c r="G12" s="5">
        <f>G10-G11</f>
      </c>
    </row>
    <row r="13">
      <c r="A13" t="inlineStr" s="3">
        <is>
          <t>D&amp;A</t>
        </is>
      </c>
      <c r="B13" s="5">
        <f>B4*Inputs!B31</f>
      </c>
      <c r="C13" s="5">
        <f>C4*Inputs!B31</f>
      </c>
      <c r="D13" s="5">
        <f>D4*Inputs!B31</f>
      </c>
      <c r="E13" s="5">
        <f>E4*Inputs!B31</f>
      </c>
      <c r="F13" s="5">
        <f>F4*Inputs!B31</f>
      </c>
      <c r="G13" s="5">
        <f>G4*Inputs!B31</f>
      </c>
    </row>
    <row r="14">
      <c r="A14" t="inlineStr" s="3">
        <is>
          <t>Capex</t>
        </is>
      </c>
      <c r="B14" s="5">
        <f>B4*Inputs!B32</f>
      </c>
      <c r="C14" s="5">
        <f>C4*Inputs!B32</f>
      </c>
      <c r="D14" s="5">
        <f>D4*Inputs!B32</f>
      </c>
      <c r="E14" s="5">
        <f>E4*Inputs!B32</f>
      </c>
      <c r="F14" s="5">
        <f>F4*Inputs!B32</f>
      </c>
      <c r="G14" s="5">
        <f>G4*Inputs!B32</f>
      </c>
    </row>
    <row r="15">
      <c r="A15" t="inlineStr" s="3">
        <is>
          <t>Change in NWC</t>
        </is>
      </c>
      <c r="B15" s="5">
        <v>0</v>
      </c>
      <c r="C15" s="5">
        <f>(C4-B4)*Inputs!B33</f>
      </c>
      <c r="D15" s="5">
        <f>(D4-C4)*Inputs!B33</f>
      </c>
      <c r="E15" s="5">
        <f>(E4-D4)*Inputs!B33</f>
      </c>
      <c r="F15" s="5">
        <f>(F4-E4)*Inputs!B33</f>
      </c>
      <c r="G15" s="5">
        <f>(G4-F4)*Inputs!B33</f>
      </c>
    </row>
    <row r="16">
      <c r="A16" t="inlineStr" s="3">
        <is>
          <t>Free Cash Flow</t>
        </is>
      </c>
      <c r="B16" s="5">
        <f>B12+B13-B14-B15</f>
      </c>
      <c r="C16" s="5">
        <f>C12+C13-C14-C15</f>
      </c>
      <c r="D16" s="5">
        <f>D12+D13-D14-D15</f>
      </c>
      <c r="E16" s="5">
        <f>E12+E13-E14-E15</f>
      </c>
      <c r="F16" s="5">
        <f>F12+F13-F14-F15</f>
      </c>
      <c r="G16" s="5">
        <f>G12+G13-G14-G15</f>
      </c>
    </row>
    <row r="17">
      <c r="A17" t="inlineStr" s="3">
        <is>
          <t>PV of FCF</t>
        </is>
      </c>
      <c r="B17" t="inlineStr" s="7">
        <is>
          <t>n.a.</t>
        </is>
      </c>
      <c r="C17" s="5">
        <f>C16/(1+Inputs!B34)^1</f>
      </c>
      <c r="D17" s="5">
        <f>D16/(1+Inputs!B34)^2</f>
      </c>
      <c r="E17" s="5">
        <f>E16/(1+Inputs!B34)^3</f>
      </c>
      <c r="F17" s="5">
        <f>F16/(1+Inputs!B34)^4</f>
      </c>
      <c r="G17" s="5">
        <f>G16/(1+Inputs!B34)^5</f>
      </c>
    </row>
    <row r="18">
      <c r="A18" t="inlineStr" s="3">
        <is>
          <t>Terminal Value</t>
        </is>
      </c>
      <c r="G18" s="5">
        <f>G16*(1+Inputs!B35)/(Inputs!B34-Inputs!B35)</f>
      </c>
    </row>
    <row r="19">
      <c r="A19" t="inlineStr" s="3">
        <is>
          <t>PV of Terminal Value</t>
        </is>
      </c>
      <c r="G19" s="5">
        <f>G18/(1+Inputs!B34)^5</f>
      </c>
    </row>
    <row r="20">
      <c r="A20" t="inlineStr" s="3">
        <is>
          <t>Enterprise Value (RMB m)</t>
        </is>
      </c>
      <c r="G20" s="5">
        <f>SUM(C17:G17)+G19</f>
      </c>
    </row>
    <row r="21">
      <c r="A21" t="inlineStr" s="3">
        <is>
          <t>Equity Value (USD m)</t>
        </is>
      </c>
      <c r="G21" s="5">
        <f>G20/Inputs!B10+Inputs!B8/Inputs!B10-Inputs!B9</f>
      </c>
    </row>
    <row r="22">
      <c r="A22" t="inlineStr" s="3">
        <is>
          <t>Implied Value / ADS</t>
        </is>
      </c>
      <c r="G22" s="5">
        <f>G21*1000000/Inputs!B7</f>
      </c>
    </row>
    <row r="23"/>
    <row r="24"/>
    <row r="25">
      <c r="A25" t="inlineStr" s="2">
        <is>
          <t>Base Case</t>
        </is>
      </c>
      <c r="B25" t="inlineStr" s="3">
        <is>
          <t>2025A</t>
        </is>
      </c>
      <c r="C25" t="inlineStr" s="3">
        <is>
          <t>2026E</t>
        </is>
      </c>
      <c r="D25" t="inlineStr" s="3">
        <is>
          <t>2027E</t>
        </is>
      </c>
      <c r="E25" t="inlineStr" s="3">
        <is>
          <t>2028E</t>
        </is>
      </c>
      <c r="F25" t="inlineStr" s="3">
        <is>
          <t>2029E</t>
        </is>
      </c>
      <c r="G25" t="inlineStr" s="3">
        <is>
          <t>2030E</t>
        </is>
      </c>
    </row>
    <row r="26">
      <c r="A26" t="inlineStr" s="3">
        <is>
          <t>Revenue</t>
        </is>
      </c>
      <c r="B26" s="5">
        <f>Inputs!B12</f>
      </c>
      <c r="C26" s="5">
        <f>Inputs!C24</f>
      </c>
      <c r="D26" s="5">
        <f>C26*(1+Inputs!C25)</f>
      </c>
      <c r="E26" s="5">
        <f>D26*(1+Inputs!C26)</f>
      </c>
      <c r="F26" s="5">
        <f>E26*(1+Inputs!C27)</f>
      </c>
      <c r="G26" s="5">
        <f>F26*(1+Inputs!C28)</f>
      </c>
    </row>
    <row r="27">
      <c r="A27" t="inlineStr" s="3">
        <is>
          <t>Revenue Growth</t>
        </is>
      </c>
      <c r="B27" t="inlineStr" s="7">
        <is>
          <t>n.a.</t>
        </is>
      </c>
      <c r="C27" s="6">
        <f>C26/B26-1</f>
      </c>
      <c r="D27" s="6">
        <f>D26/C26-1</f>
      </c>
      <c r="E27" s="6">
        <f>E26/D26-1</f>
      </c>
      <c r="F27" s="6">
        <f>F26/E26-1</f>
      </c>
      <c r="G27" s="6">
        <f>G26/F26-1</f>
      </c>
    </row>
    <row r="28">
      <c r="A28" t="inlineStr" s="3">
        <is>
          <t>Gross Margin</t>
        </is>
      </c>
      <c r="B28" s="6">
        <f>Inputs!B13</f>
      </c>
      <c r="C28" s="6">
        <f>Inputs!C29</f>
      </c>
      <c r="D28" s="6">
        <f>Inputs!C29</f>
      </c>
      <c r="E28" s="6">
        <f>Inputs!C29</f>
      </c>
      <c r="F28" s="6">
        <f>Inputs!C29</f>
      </c>
      <c r="G28" s="6">
        <f>Inputs!C29</f>
      </c>
    </row>
    <row r="29">
      <c r="A29" t="inlineStr" s="3">
        <is>
          <t>Gross Profit</t>
        </is>
      </c>
      <c r="B29" s="5">
        <f>B26*B28</f>
      </c>
      <c r="C29" s="5">
        <f>C26*C28</f>
      </c>
      <c r="D29" s="5">
        <f>D26*D28</f>
      </c>
      <c r="E29" s="5">
        <f>E26*E28</f>
      </c>
      <c r="F29" s="5">
        <f>F26*F28</f>
      </c>
      <c r="G29" s="5">
        <f>G26*G28</f>
      </c>
    </row>
    <row r="30">
      <c r="A30" t="inlineStr" s="3">
        <is>
          <t>Operating Expense / Revenue</t>
        </is>
      </c>
      <c r="B30" s="6">
        <f>(Inputs!B12*Inputs!B13-Inputs!B14)/Inputs!B12</f>
      </c>
      <c r="C30" s="6">
        <f>((B30)*0.85+Inputs!C30*0.15)</f>
      </c>
      <c r="D30" s="6">
        <f>((C30)*0.65+Inputs!C30*0.35)</f>
      </c>
      <c r="E30" s="6">
        <f>((D30)*0.45+Inputs!C30*0.55)</f>
      </c>
      <c r="F30" s="6">
        <f>((E30)*0.25+Inputs!C30*0.75)</f>
      </c>
      <c r="G30" s="6">
        <f>Inputs!C30</f>
      </c>
    </row>
    <row r="31">
      <c r="A31" t="inlineStr" s="3">
        <is>
          <t>Operating Expense</t>
        </is>
      </c>
      <c r="B31" s="5">
        <f>B26*B30</f>
      </c>
      <c r="C31" s="5">
        <f>C26*C30</f>
      </c>
      <c r="D31" s="5">
        <f>D26*D30</f>
      </c>
      <c r="E31" s="5">
        <f>E26*E30</f>
      </c>
      <c r="F31" s="5">
        <f>F26*F30</f>
      </c>
      <c r="G31" s="5">
        <f>G26*G30</f>
      </c>
    </row>
    <row r="32">
      <c r="A32" t="inlineStr" s="3">
        <is>
          <t>EBIT</t>
        </is>
      </c>
      <c r="B32" s="5">
        <f>B29-B31</f>
      </c>
      <c r="C32" s="5">
        <f>C29-C31</f>
      </c>
      <c r="D32" s="5">
        <f>D29-D31</f>
      </c>
      <c r="E32" s="5">
        <f>E29-E31</f>
      </c>
      <c r="F32" s="5">
        <f>F29-F31</f>
      </c>
      <c r="G32" s="5">
        <f>G29-G31</f>
      </c>
    </row>
    <row r="33">
      <c r="A33" t="inlineStr" s="3">
        <is>
          <t>Tax on Positive EBIT</t>
        </is>
      </c>
      <c r="B33" s="5">
        <v>0</v>
      </c>
      <c r="C33" s="5">
        <f>MAX(0,C32*Inputs!B11)</f>
      </c>
      <c r="D33" s="5">
        <f>MAX(0,D32*Inputs!B11)</f>
      </c>
      <c r="E33" s="5">
        <f>MAX(0,E32*Inputs!B11)</f>
      </c>
      <c r="F33" s="5">
        <f>MAX(0,F32*Inputs!B11)</f>
      </c>
      <c r="G33" s="5">
        <f>MAX(0,G32*Inputs!B11)</f>
      </c>
    </row>
    <row r="34">
      <c r="A34" t="inlineStr" s="3">
        <is>
          <t>NOPAT</t>
        </is>
      </c>
      <c r="B34" s="5">
        <f>B32-B33</f>
      </c>
      <c r="C34" s="5">
        <f>C32-C33</f>
      </c>
      <c r="D34" s="5">
        <f>D32-D33</f>
      </c>
      <c r="E34" s="5">
        <f>E32-E33</f>
      </c>
      <c r="F34" s="5">
        <f>F32-F33</f>
      </c>
      <c r="G34" s="5">
        <f>G32-G33</f>
      </c>
    </row>
    <row r="35">
      <c r="A35" t="inlineStr" s="3">
        <is>
          <t>D&amp;A</t>
        </is>
      </c>
      <c r="B35" s="5">
        <f>B26*Inputs!C31</f>
      </c>
      <c r="C35" s="5">
        <f>C26*Inputs!C31</f>
      </c>
      <c r="D35" s="5">
        <f>D26*Inputs!C31</f>
      </c>
      <c r="E35" s="5">
        <f>E26*Inputs!C31</f>
      </c>
      <c r="F35" s="5">
        <f>F26*Inputs!C31</f>
      </c>
      <c r="G35" s="5">
        <f>G26*Inputs!C31</f>
      </c>
    </row>
    <row r="36">
      <c r="A36" t="inlineStr" s="3">
        <is>
          <t>Capex</t>
        </is>
      </c>
      <c r="B36" s="5">
        <f>B26*Inputs!C32</f>
      </c>
      <c r="C36" s="5">
        <f>C26*Inputs!C32</f>
      </c>
      <c r="D36" s="5">
        <f>D26*Inputs!C32</f>
      </c>
      <c r="E36" s="5">
        <f>E26*Inputs!C32</f>
      </c>
      <c r="F36" s="5">
        <f>F26*Inputs!C32</f>
      </c>
      <c r="G36" s="5">
        <f>G26*Inputs!C32</f>
      </c>
    </row>
    <row r="37">
      <c r="A37" t="inlineStr" s="3">
        <is>
          <t>Change in NWC</t>
        </is>
      </c>
      <c r="B37" s="5">
        <v>0</v>
      </c>
      <c r="C37" s="5">
        <f>(C26-B26)*Inputs!C33</f>
      </c>
      <c r="D37" s="5">
        <f>(D26-C26)*Inputs!C33</f>
      </c>
      <c r="E37" s="5">
        <f>(E26-D26)*Inputs!C33</f>
      </c>
      <c r="F37" s="5">
        <f>(F26-E26)*Inputs!C33</f>
      </c>
      <c r="G37" s="5">
        <f>(G26-F26)*Inputs!C33</f>
      </c>
    </row>
    <row r="38">
      <c r="A38" t="inlineStr" s="3">
        <is>
          <t>Free Cash Flow</t>
        </is>
      </c>
      <c r="B38" s="5">
        <f>B34+B35-B36-B37</f>
      </c>
      <c r="C38" s="5">
        <f>C34+C35-C36-C37</f>
      </c>
      <c r="D38" s="5">
        <f>D34+D35-D36-D37</f>
      </c>
      <c r="E38" s="5">
        <f>E34+E35-E36-E37</f>
      </c>
      <c r="F38" s="5">
        <f>F34+F35-F36-F37</f>
      </c>
      <c r="G38" s="5">
        <f>G34+G35-G36-G37</f>
      </c>
    </row>
    <row r="39">
      <c r="A39" t="inlineStr" s="3">
        <is>
          <t>PV of FCF</t>
        </is>
      </c>
      <c r="B39" t="inlineStr" s="7">
        <is>
          <t>n.a.</t>
        </is>
      </c>
      <c r="C39" s="5">
        <f>C38/(1+Inputs!C34)^1</f>
      </c>
      <c r="D39" s="5">
        <f>D38/(1+Inputs!C34)^2</f>
      </c>
      <c r="E39" s="5">
        <f>E38/(1+Inputs!C34)^3</f>
      </c>
      <c r="F39" s="5">
        <f>F38/(1+Inputs!C34)^4</f>
      </c>
      <c r="G39" s="5">
        <f>G38/(1+Inputs!C34)^5</f>
      </c>
    </row>
    <row r="40">
      <c r="A40" t="inlineStr" s="3">
        <is>
          <t>Terminal Value</t>
        </is>
      </c>
      <c r="G40" s="5">
        <f>G38*(1+Inputs!C35)/(Inputs!C34-Inputs!C35)</f>
      </c>
    </row>
    <row r="41">
      <c r="A41" t="inlineStr" s="3">
        <is>
          <t>PV of Terminal Value</t>
        </is>
      </c>
      <c r="G41" s="5">
        <f>G40/(1+Inputs!C34)^5</f>
      </c>
    </row>
    <row r="42">
      <c r="A42" t="inlineStr" s="3">
        <is>
          <t>Enterprise Value (RMB m)</t>
        </is>
      </c>
      <c r="G42" s="5">
        <f>SUM(C39:G39)+G41</f>
      </c>
    </row>
    <row r="43">
      <c r="A43" t="inlineStr" s="3">
        <is>
          <t>Equity Value (USD m)</t>
        </is>
      </c>
      <c r="G43" s="5">
        <f>G42/Inputs!B10+Inputs!B8/Inputs!B10-Inputs!B9</f>
      </c>
    </row>
    <row r="44">
      <c r="A44" t="inlineStr" s="3">
        <is>
          <t>Implied Value / ADS</t>
        </is>
      </c>
      <c r="G44" s="5">
        <f>G43*1000000/Inputs!B7</f>
      </c>
    </row>
    <row r="45"/>
    <row r="46"/>
    <row r="47">
      <c r="A47" t="inlineStr" s="2">
        <is>
          <t>Bull Case</t>
        </is>
      </c>
      <c r="B47" t="inlineStr" s="3">
        <is>
          <t>2025A</t>
        </is>
      </c>
      <c r="C47" t="inlineStr" s="3">
        <is>
          <t>2026E</t>
        </is>
      </c>
      <c r="D47" t="inlineStr" s="3">
        <is>
          <t>2027E</t>
        </is>
      </c>
      <c r="E47" t="inlineStr" s="3">
        <is>
          <t>2028E</t>
        </is>
      </c>
      <c r="F47" t="inlineStr" s="3">
        <is>
          <t>2029E</t>
        </is>
      </c>
      <c r="G47" t="inlineStr" s="3">
        <is>
          <t>2030E</t>
        </is>
      </c>
    </row>
    <row r="48">
      <c r="A48" t="inlineStr" s="3">
        <is>
          <t>Revenue</t>
        </is>
      </c>
      <c r="B48" s="5">
        <f>Inputs!B12</f>
      </c>
      <c r="C48" s="5">
        <f>Inputs!D24</f>
      </c>
      <c r="D48" s="5">
        <f>C48*(1+Inputs!D25)</f>
      </c>
      <c r="E48" s="5">
        <f>D48*(1+Inputs!D26)</f>
      </c>
      <c r="F48" s="5">
        <f>E48*(1+Inputs!D27)</f>
      </c>
      <c r="G48" s="5">
        <f>F48*(1+Inputs!D28)</f>
      </c>
    </row>
    <row r="49">
      <c r="A49" t="inlineStr" s="3">
        <is>
          <t>Revenue Growth</t>
        </is>
      </c>
      <c r="B49" t="inlineStr" s="7">
        <is>
          <t>n.a.</t>
        </is>
      </c>
      <c r="C49" s="6">
        <f>C48/B48-1</f>
      </c>
      <c r="D49" s="6">
        <f>D48/C48-1</f>
      </c>
      <c r="E49" s="6">
        <f>E48/D48-1</f>
      </c>
      <c r="F49" s="6">
        <f>F48/E48-1</f>
      </c>
      <c r="G49" s="6">
        <f>G48/F48-1</f>
      </c>
    </row>
    <row r="50">
      <c r="A50" t="inlineStr" s="3">
        <is>
          <t>Gross Margin</t>
        </is>
      </c>
      <c r="B50" s="6">
        <f>Inputs!B13</f>
      </c>
      <c r="C50" s="6">
        <f>Inputs!D29</f>
      </c>
      <c r="D50" s="6">
        <f>Inputs!D29</f>
      </c>
      <c r="E50" s="6">
        <f>Inputs!D29</f>
      </c>
      <c r="F50" s="6">
        <f>Inputs!D29</f>
      </c>
      <c r="G50" s="6">
        <f>Inputs!D29</f>
      </c>
    </row>
    <row r="51">
      <c r="A51" t="inlineStr" s="3">
        <is>
          <t>Gross Profit</t>
        </is>
      </c>
      <c r="B51" s="5">
        <f>B48*B50</f>
      </c>
      <c r="C51" s="5">
        <f>C48*C50</f>
      </c>
      <c r="D51" s="5">
        <f>D48*D50</f>
      </c>
      <c r="E51" s="5">
        <f>E48*E50</f>
      </c>
      <c r="F51" s="5">
        <f>F48*F50</f>
      </c>
      <c r="G51" s="5">
        <f>G48*G50</f>
      </c>
    </row>
    <row r="52">
      <c r="A52" t="inlineStr" s="3">
        <is>
          <t>Operating Expense / Revenue</t>
        </is>
      </c>
      <c r="B52" s="6">
        <f>(Inputs!B12*Inputs!B13-Inputs!B14)/Inputs!B12</f>
      </c>
      <c r="C52" s="6">
        <f>((B52)*0.85+Inputs!D30*0.15)</f>
      </c>
      <c r="D52" s="6">
        <f>((C52)*0.65+Inputs!D30*0.35)</f>
      </c>
      <c r="E52" s="6">
        <f>((D52)*0.45+Inputs!D30*0.55)</f>
      </c>
      <c r="F52" s="6">
        <f>((E52)*0.25+Inputs!D30*0.75)</f>
      </c>
      <c r="G52" s="6">
        <f>Inputs!D30</f>
      </c>
    </row>
    <row r="53">
      <c r="A53" t="inlineStr" s="3">
        <is>
          <t>Operating Expense</t>
        </is>
      </c>
      <c r="B53" s="5">
        <f>B48*B52</f>
      </c>
      <c r="C53" s="5">
        <f>C48*C52</f>
      </c>
      <c r="D53" s="5">
        <f>D48*D52</f>
      </c>
      <c r="E53" s="5">
        <f>E48*E52</f>
      </c>
      <c r="F53" s="5">
        <f>F48*F52</f>
      </c>
      <c r="G53" s="5">
        <f>G48*G52</f>
      </c>
    </row>
    <row r="54">
      <c r="A54" t="inlineStr" s="3">
        <is>
          <t>EBIT</t>
        </is>
      </c>
      <c r="B54" s="5">
        <f>B51-B53</f>
      </c>
      <c r="C54" s="5">
        <f>C51-C53</f>
      </c>
      <c r="D54" s="5">
        <f>D51-D53</f>
      </c>
      <c r="E54" s="5">
        <f>E51-E53</f>
      </c>
      <c r="F54" s="5">
        <f>F51-F53</f>
      </c>
      <c r="G54" s="5">
        <f>G51-G53</f>
      </c>
    </row>
    <row r="55">
      <c r="A55" t="inlineStr" s="3">
        <is>
          <t>Tax on Positive EBIT</t>
        </is>
      </c>
      <c r="B55" s="5">
        <v>0</v>
      </c>
      <c r="C55" s="5">
        <f>MAX(0,C54*Inputs!B11)</f>
      </c>
      <c r="D55" s="5">
        <f>MAX(0,D54*Inputs!B11)</f>
      </c>
      <c r="E55" s="5">
        <f>MAX(0,E54*Inputs!B11)</f>
      </c>
      <c r="F55" s="5">
        <f>MAX(0,F54*Inputs!B11)</f>
      </c>
      <c r="G55" s="5">
        <f>MAX(0,G54*Inputs!B11)</f>
      </c>
    </row>
    <row r="56">
      <c r="A56" t="inlineStr" s="3">
        <is>
          <t>NOPAT</t>
        </is>
      </c>
      <c r="B56" s="5">
        <f>B54-B55</f>
      </c>
      <c r="C56" s="5">
        <f>C54-C55</f>
      </c>
      <c r="D56" s="5">
        <f>D54-D55</f>
      </c>
      <c r="E56" s="5">
        <f>E54-E55</f>
      </c>
      <c r="F56" s="5">
        <f>F54-F55</f>
      </c>
      <c r="G56" s="5">
        <f>G54-G55</f>
      </c>
    </row>
    <row r="57">
      <c r="A57" t="inlineStr" s="3">
        <is>
          <t>D&amp;A</t>
        </is>
      </c>
      <c r="B57" s="5">
        <f>B48*Inputs!D31</f>
      </c>
      <c r="C57" s="5">
        <f>C48*Inputs!D31</f>
      </c>
      <c r="D57" s="5">
        <f>D48*Inputs!D31</f>
      </c>
      <c r="E57" s="5">
        <f>E48*Inputs!D31</f>
      </c>
      <c r="F57" s="5">
        <f>F48*Inputs!D31</f>
      </c>
      <c r="G57" s="5">
        <f>G48*Inputs!D31</f>
      </c>
    </row>
    <row r="58">
      <c r="A58" t="inlineStr" s="3">
        <is>
          <t>Capex</t>
        </is>
      </c>
      <c r="B58" s="5">
        <f>B48*Inputs!D32</f>
      </c>
      <c r="C58" s="5">
        <f>C48*Inputs!D32</f>
      </c>
      <c r="D58" s="5">
        <f>D48*Inputs!D32</f>
      </c>
      <c r="E58" s="5">
        <f>E48*Inputs!D32</f>
      </c>
      <c r="F58" s="5">
        <f>F48*Inputs!D32</f>
      </c>
      <c r="G58" s="5">
        <f>G48*Inputs!D32</f>
      </c>
    </row>
    <row r="59">
      <c r="A59" t="inlineStr" s="3">
        <is>
          <t>Change in NWC</t>
        </is>
      </c>
      <c r="B59" s="5">
        <v>0</v>
      </c>
      <c r="C59" s="5">
        <f>(C48-B48)*Inputs!D33</f>
      </c>
      <c r="D59" s="5">
        <f>(D48-C48)*Inputs!D33</f>
      </c>
      <c r="E59" s="5">
        <f>(E48-D48)*Inputs!D33</f>
      </c>
      <c r="F59" s="5">
        <f>(F48-E48)*Inputs!D33</f>
      </c>
      <c r="G59" s="5">
        <f>(G48-F48)*Inputs!D33</f>
      </c>
    </row>
    <row r="60">
      <c r="A60" t="inlineStr" s="3">
        <is>
          <t>Free Cash Flow</t>
        </is>
      </c>
      <c r="B60" s="5">
        <f>B56+B57-B58-B59</f>
      </c>
      <c r="C60" s="5">
        <f>C56+C57-C58-C59</f>
      </c>
      <c r="D60" s="5">
        <f>D56+D57-D58-D59</f>
      </c>
      <c r="E60" s="5">
        <f>E56+E57-E58-E59</f>
      </c>
      <c r="F60" s="5">
        <f>F56+F57-F58-F59</f>
      </c>
      <c r="G60" s="5">
        <f>G56+G57-G58-G59</f>
      </c>
    </row>
    <row r="61">
      <c r="A61" t="inlineStr" s="3">
        <is>
          <t>PV of FCF</t>
        </is>
      </c>
      <c r="B61" t="inlineStr" s="7">
        <is>
          <t>n.a.</t>
        </is>
      </c>
      <c r="C61" s="5">
        <f>C60/(1+Inputs!D34)^1</f>
      </c>
      <c r="D61" s="5">
        <f>D60/(1+Inputs!D34)^2</f>
      </c>
      <c r="E61" s="5">
        <f>E60/(1+Inputs!D34)^3</f>
      </c>
      <c r="F61" s="5">
        <f>F60/(1+Inputs!D34)^4</f>
      </c>
      <c r="G61" s="5">
        <f>G60/(1+Inputs!D34)^5</f>
      </c>
    </row>
    <row r="62">
      <c r="A62" t="inlineStr" s="3">
        <is>
          <t>Terminal Value</t>
        </is>
      </c>
      <c r="G62" s="5">
        <f>G60*(1+Inputs!D35)/(Inputs!D34-Inputs!D35)</f>
      </c>
    </row>
    <row r="63">
      <c r="A63" t="inlineStr" s="3">
        <is>
          <t>PV of Terminal Value</t>
        </is>
      </c>
      <c r="G63" s="5">
        <f>G62/(1+Inputs!D34)^5</f>
      </c>
    </row>
    <row r="64">
      <c r="A64" t="inlineStr" s="3">
        <is>
          <t>Enterprise Value (RMB m)</t>
        </is>
      </c>
      <c r="G64" s="5">
        <f>SUM(C61:G61)+G63</f>
      </c>
    </row>
    <row r="65">
      <c r="A65" t="inlineStr" s="3">
        <is>
          <t>Equity Value (USD m)</t>
        </is>
      </c>
      <c r="G65" s="5">
        <f>G64/Inputs!B10+Inputs!B8/Inputs!B10-Inputs!B9</f>
      </c>
    </row>
    <row r="66">
      <c r="A66" t="inlineStr" s="3">
        <is>
          <t>Implied Value / ADS</t>
        </is>
      </c>
      <c r="G66" s="5">
        <f>G65*1000000/Inputs!B7</f>
      </c>
    </row>
  </sheetData>
  <mergeCells count="1">
    <mergeCell ref="A1:G1"/>
  </mergeCells>
</worksheet>
</file>

<file path=xl/worksheets/sheet4.xml><?xml version="1.0" encoding="utf-8"?>
<worksheet xmlns="http://schemas.openxmlformats.org/spreadsheetml/2006/main">
  <cols>
    <col min="1" max="1" width="24" customWidth="1"/>
    <col min="2" max="2" width="24" customWidth="1"/>
    <col min="3" max="3" width="22" customWidth="1"/>
    <col min="4" max="4" width="18" customWidth="1"/>
  </cols>
  <sheetData>
    <row r="1">
      <c r="A1" t="inlineStr" s="1">
        <is>
          <t>Valuation Output</t>
        </is>
      </c>
    </row>
    <row r="2">
      <c r="A2" t="inlineStr" s="7">
        <is>
          <t>Outputs are linked to the DCF sheet. Excel will recalculate formulas when opened.</t>
        </is>
      </c>
    </row>
    <row r="3"/>
    <row r="4">
      <c r="A4" t="inlineStr" s="3">
        <is>
          <t>Scenario</t>
        </is>
      </c>
      <c r="B4" t="inlineStr" s="3">
        <is>
          <t>Implied Value / ADS</t>
        </is>
      </c>
      <c r="C4" t="inlineStr" s="3">
        <is>
          <t>Upside / Downside</t>
        </is>
      </c>
      <c r="D4" t="inlineStr" s="3">
        <is>
          <t>Market Price</t>
        </is>
      </c>
    </row>
    <row r="5">
      <c r="A5" t="inlineStr" s="8">
        <is>
          <t>Bear</t>
        </is>
      </c>
      <c r="B5" s="5">
        <f>'DCF Model'!G22</f>
      </c>
      <c r="C5" s="6">
        <f>B5/Inputs!B4-1</f>
      </c>
      <c r="D5" s="5">
        <f>Inputs!B4</f>
      </c>
    </row>
    <row r="6">
      <c r="A6" t="inlineStr" s="8">
        <is>
          <t>Base</t>
        </is>
      </c>
      <c r="B6" s="5">
        <f>'DCF Model'!G44</f>
      </c>
      <c r="C6" s="6">
        <f>B6/Inputs!B4-1</f>
      </c>
      <c r="D6" s="5">
        <f>Inputs!B4</f>
      </c>
    </row>
    <row r="7">
      <c r="A7" t="inlineStr" s="8">
        <is>
          <t>Bull</t>
        </is>
      </c>
      <c r="B7" s="5">
        <f>'DCF Model'!G66</f>
      </c>
      <c r="C7" s="6">
        <f>B7/Inputs!B4-1</f>
      </c>
      <c r="D7" s="5">
        <f>Inputs!B4</f>
      </c>
    </row>
    <row r="8"/>
    <row r="9">
      <c r="A9" t="inlineStr" s="2">
        <is>
          <t>Sensitivity Lens</t>
        </is>
      </c>
    </row>
    <row r="10">
      <c r="A10" t="inlineStr" s="7">
        <is>
          <t>If the market price sits above Base, the equity is pricing a faster transition from certified aircraft sales to recurring operations and FCF conversion.</t>
        </is>
      </c>
    </row>
    <row r="11">
      <c r="A11" t="inlineStr" s="7">
        <is>
          <t>If the market price sits below Base, the market is discounting delays, weak route economics, or limited operating leverage.</t>
        </is>
      </c>
    </row>
  </sheetData>
  <mergeCells count="3">
    <mergeCell ref="A1:D1"/>
    <mergeCell ref="A2:D2"/>
    <mergeCell ref="A9:D9"/>
  </mergeCells>
</worksheet>
</file>

<file path=xl/worksheets/sheet5.xml><?xml version="1.0" encoding="utf-8"?>
<worksheet xmlns="http://schemas.openxmlformats.org/spreadsheetml/2006/main">
  <cols>
    <col min="1" max="1" width="34" customWidth="1"/>
    <col min="2" max="2" width="56" customWidth="1"/>
    <col min="3" max="3" width="86" customWidth="1"/>
  </cols>
  <sheetData>
    <row r="1">
      <c r="A1" t="inlineStr" s="1">
        <is>
          <t>Sources and Model Boundaries</t>
        </is>
      </c>
    </row>
    <row r="2">
      <c r="A2" t="inlineStr" s="3">
        <is>
          <t>Source</t>
        </is>
      </c>
      <c r="B2" t="inlineStr" s="3">
        <is>
          <t>Data Used</t>
        </is>
      </c>
      <c r="C2" t="inlineStr" s="3">
        <is>
          <t>Link / Note</t>
        </is>
      </c>
    </row>
    <row r="3">
      <c r="A3" t="inlineStr" s="8">
        <is>
          <t>EHang FY2025 unaudited results</t>
        </is>
      </c>
      <c r="B3" t="inlineStr" s="7">
        <is>
          <t>Revenue, gross margin, operating loss, net loss, cash/investments, delivery volumes</t>
        </is>
      </c>
      <c r="C3" t="inlineStr" s="7">
        <is>
          <t>https://ir.ehang.com/static-files/7f221980-3b66-49cb-83c7-1bdabff615fc</t>
        </is>
      </c>
    </row>
    <row r="4">
      <c r="A4" t="inlineStr" s="8">
        <is>
          <t>EHang FY2025 Form 20-F</t>
        </is>
      </c>
      <c r="B4" t="inlineStr" s="7">
        <is>
          <t>Ordinary shares outstanding and RMB/USD translation rate</t>
        </is>
      </c>
      <c r="C4" t="inlineStr" s="7">
        <is>
          <t>https://www.sec.gov/Archives/edgar/data/1759783/000119312526226608/d39307d20f.htm</t>
        </is>
      </c>
    </row>
    <row r="5">
      <c r="A5" t="inlineStr" s="8">
        <is>
          <t>EHang share repurchase announcement</t>
        </is>
      </c>
      <c r="B5" t="inlineStr" s="7">
        <is>
          <t>Recent market confidence signal; not included as a valuation driver except potential dilution offset</t>
        </is>
      </c>
      <c r="C5" t="inlineStr" s="7">
        <is>
          <t>https://www.globenewswire.com/news-release/2026/06/08/3307952/0/en/EHang-Announces-US-30-Million-Share-Repurchase-Program.html</t>
        </is>
      </c>
    </row>
    <row r="6">
      <c r="A6" t="inlineStr" s="8">
        <is>
          <t>Policy Alpha model judgment</t>
        </is>
      </c>
      <c r="B6" t="inlineStr" s="7">
        <is>
          <t>Scenario assumptions for growth, margins, opex absorption, capex and NWC</t>
        </is>
      </c>
      <c r="C6" t="inlineStr" s="7">
        <is>
          <t>Editable; not a forecast guarantee</t>
        </is>
      </c>
    </row>
    <row r="7"/>
    <row r="8">
      <c r="A8" t="inlineStr" s="2">
        <is>
          <t>Important Limitations</t>
        </is>
      </c>
    </row>
    <row r="9">
      <c r="A9" t="inlineStr" s="7">
        <is>
          <t>This model uses preliminary scenario assumptions because EHang remains in an early commercialization stage. Small changes in delivery scale, route economics, or discount rate can materially change implied value.</t>
        </is>
      </c>
    </row>
    <row r="10">
      <c r="A10" t="inlineStr" s="7">
        <is>
          <t>The model is not investment advice and should not be read as a target price. It is a framework for testing what must go right for different valuation outcomes.</t>
        </is>
      </c>
    </row>
  </sheetData>
  <mergeCells count="2">
    <mergeCell ref="A1:C1"/>
    <mergeCell ref="A8:C8"/>
  </mergeCells>
</worksheet>
</file>

<file path=xl/worksheets/sheet6.xml><?xml version="1.0" encoding="utf-8"?>
<worksheet xmlns="http://schemas.openxmlformats.org/spreadsheetml/2006/main">
  <cols>
    <col min="1" max="1" width="22" customWidth="1"/>
    <col min="2" max="2" width="38" customWidth="1"/>
    <col min="3" max="3" width="18" customWidth="1"/>
    <col min="4" max="4" width="88" customWidth="1"/>
  </cols>
  <sheetData>
    <row r="1">
      <c r="A1" t="inlineStr" s="1">
        <is>
          <t>Public Source Data</t>
        </is>
      </c>
    </row>
    <row r="2">
      <c r="A2" t="inlineStr" s="7">
        <is>
          <t>This sheet separates disclosed facts from Policy Alpha scenario assumptions.</t>
        </is>
      </c>
    </row>
    <row r="3"/>
    <row r="4">
      <c r="A4" t="inlineStr" s="3">
        <is>
          <t>Category</t>
        </is>
      </c>
      <c r="B4" t="inlineStr" s="3">
        <is>
          <t>Metric</t>
        </is>
      </c>
      <c r="C4" t="inlineStr" s="3">
        <is>
          <t>Value</t>
        </is>
      </c>
      <c r="D4" t="inlineStr" s="3">
        <is>
          <t>Source / Interpretation</t>
        </is>
      </c>
    </row>
    <row r="5">
      <c r="A5" t="inlineStr" s="8">
        <is>
          <t>FY2025</t>
        </is>
      </c>
      <c r="B5" t="inlineStr" s="3">
        <is>
          <t>Revenue</t>
        </is>
      </c>
      <c r="C5" s="5">
        <v>509.5</v>
      </c>
      <c r="D5" t="inlineStr" s="7">
        <is>
          <t>EHang FY2025 results: RMB509.5m, +11.7% YoY</t>
        </is>
      </c>
    </row>
    <row r="6">
      <c r="A6" t="inlineStr" s="8">
        <is>
          <t>FY2025</t>
        </is>
      </c>
      <c r="B6" t="inlineStr" s="3">
        <is>
          <t>Deliveries</t>
        </is>
      </c>
      <c r="C6" s="5">
        <v>221</v>
      </c>
      <c r="D6" t="inlineStr" s="7">
        <is>
          <t>215 EH216 series + 6 VT35</t>
        </is>
      </c>
    </row>
    <row r="7">
      <c r="A7" t="inlineStr" s="8">
        <is>
          <t>FY2025</t>
        </is>
      </c>
      <c r="B7" t="inlineStr" s="3">
        <is>
          <t>Gross margin</t>
        </is>
      </c>
      <c r="C7" s="6">
        <v>0.62</v>
      </c>
      <c r="D7" t="inlineStr" s="7">
        <is>
          <t>Reported gross margin</t>
        </is>
      </c>
    </row>
    <row r="8">
      <c r="A8" t="inlineStr" s="8">
        <is>
          <t>FY2025</t>
        </is>
      </c>
      <c r="B8" t="inlineStr" s="3">
        <is>
          <t>Operating loss</t>
        </is>
      </c>
      <c r="C8" s="5">
        <v>-266.3</v>
      </c>
      <c r="D8" t="inlineStr" s="7">
        <is>
          <t>GAAP operating loss, RMB m</t>
        </is>
      </c>
    </row>
    <row r="9">
      <c r="A9" t="inlineStr" s="8">
        <is>
          <t>FY2025</t>
        </is>
      </c>
      <c r="B9" t="inlineStr" s="3">
        <is>
          <t>Net loss</t>
        </is>
      </c>
      <c r="C9" s="5">
        <v>-231</v>
      </c>
      <c r="D9" t="inlineStr" s="7">
        <is>
          <t>GAAP net loss, RMB m</t>
        </is>
      </c>
    </row>
    <row r="10">
      <c r="A10" t="inlineStr" s="8">
        <is>
          <t>FY2025</t>
        </is>
      </c>
      <c r="B10" t="inlineStr" s="3">
        <is>
          <t>Adjusted net income</t>
        </is>
      </c>
      <c r="C10" s="5">
        <v>29.4</v>
      </c>
      <c r="D10" t="inlineStr" s="7">
        <is>
          <t>Non-GAAP adjusted net income, RMB m</t>
        </is>
      </c>
    </row>
    <row r="11">
      <c r="A11" t="inlineStr" s="8">
        <is>
          <t>Q4 2025</t>
        </is>
      </c>
      <c r="B11" t="inlineStr" s="3">
        <is>
          <t>Revenue</t>
        </is>
      </c>
      <c r="C11" s="5">
        <v>243.8</v>
      </c>
      <c r="D11" t="inlineStr" s="7">
        <is>
          <t>Record quarterly revenue, RMB m</t>
        </is>
      </c>
    </row>
    <row r="12">
      <c r="A12" t="inlineStr" s="8">
        <is>
          <t>Q4 2025</t>
        </is>
      </c>
      <c r="B12" t="inlineStr" s="3">
        <is>
          <t>Deliveries</t>
        </is>
      </c>
      <c r="C12" s="5">
        <v>100</v>
      </c>
      <c r="D12" t="inlineStr" s="7">
        <is>
          <t>95 EH216 series + 5 VT35</t>
        </is>
      </c>
    </row>
    <row r="13">
      <c r="A13" t="inlineStr" s="8">
        <is>
          <t>Q4 2025</t>
        </is>
      </c>
      <c r="B13" t="inlineStr" s="3">
        <is>
          <t>Gross margin</t>
        </is>
      </c>
      <c r="C13" s="6">
        <v>0.621</v>
      </c>
      <c r="D13" t="inlineStr" s="7">
        <is>
          <t>Q4 reported gross margin</t>
        </is>
      </c>
    </row>
    <row r="14">
      <c r="A14" t="inlineStr" s="8">
        <is>
          <t>Q4 2025</t>
        </is>
      </c>
      <c r="B14" t="inlineStr" s="3">
        <is>
          <t>Net income</t>
        </is>
      </c>
      <c r="C14" s="5">
        <v>10.5</v>
      </c>
      <c r="D14" t="inlineStr" s="7">
        <is>
          <t>First GAAP profitable quarter, RMB m</t>
        </is>
      </c>
    </row>
    <row r="15">
      <c r="A15" t="inlineStr" s="8">
        <is>
          <t>Balance Sheet</t>
        </is>
      </c>
      <c r="B15" t="inlineStr" s="3">
        <is>
          <t>Cash / deposits / short-term investments</t>
        </is>
      </c>
      <c r="C15" s="5">
        <v>1130</v>
      </c>
      <c r="D15" t="inlineStr" s="7">
        <is>
          <t>RMB m, as of Dec 31 2025</t>
        </is>
      </c>
    </row>
    <row r="16">
      <c r="A16" t="inlineStr" s="8">
        <is>
          <t>Capital Structure</t>
        </is>
      </c>
      <c r="B16" t="inlineStr" s="3">
        <is>
          <t>Ordinary shares outstanding</t>
        </is>
      </c>
      <c r="C16" s="5">
        <v>150242174</v>
      </c>
      <c r="D16" t="inlineStr" s="7">
        <is>
          <t>2025 Form 20-F ordinary shares outstanding</t>
        </is>
      </c>
    </row>
    <row r="17">
      <c r="A17" t="inlineStr" s="8">
        <is>
          <t>Capital Structure</t>
        </is>
      </c>
      <c r="B17" t="inlineStr" s="3">
        <is>
          <t>ADS ratio</t>
        </is>
      </c>
      <c r="C17" s="5">
        <v>2</v>
      </c>
      <c r="D17" t="inlineStr" s="7">
        <is>
          <t>Each ADS represents two Class A ordinary shares</t>
        </is>
      </c>
    </row>
    <row r="18">
      <c r="A18" t="inlineStr" s="8">
        <is>
          <t>Company Outlook</t>
        </is>
      </c>
      <c r="B18" t="inlineStr" s="3">
        <is>
          <t>FY2026 revenue outlook</t>
        </is>
      </c>
      <c r="C18" s="5">
        <v>600</v>
      </c>
      <c r="D18" t="inlineStr" s="7">
        <is>
          <t>Company expects around RMB600m total revenues, about +18% YoY</t>
        </is>
      </c>
    </row>
    <row r="19">
      <c r="A19" t="inlineStr" s="8">
        <is>
          <t>Market Context</t>
        </is>
      </c>
      <c r="B19" t="inlineStr" s="3">
        <is>
          <t>Share repurchase program</t>
        </is>
      </c>
      <c r="C19" s="5">
        <v>30</v>
      </c>
      <c r="D19" t="inlineStr" s="7">
        <is>
          <t>US$30m ADS/ordinary share repurchase authorization over 12 months</t>
        </is>
      </c>
    </row>
    <row r="20">
      <c r="A20" t="inlineStr" s="8">
        <is>
          <t>Model Boundary</t>
        </is>
      </c>
      <c r="B20" t="inlineStr" s="3">
        <is>
          <t>Unknown operating variables</t>
        </is>
      </c>
      <c r="C20" t="inlineStr" s="7">
        <is>
          <t>Not disclosed</t>
        </is>
      </c>
      <c r="D20" t="inlineStr" s="7">
        <is>
          <t>Route economics, utilization, ticket pricing, battery replacement, insurance cost and operating-service revenue mix are not yet sufficiently disclosed.</t>
        </is>
      </c>
    </row>
  </sheetData>
  <mergeCells count="2">
    <mergeCell ref="A1:D1"/>
    <mergeCell ref="A2:D2"/>
  </mergeCells>
</worksheet>
</file>